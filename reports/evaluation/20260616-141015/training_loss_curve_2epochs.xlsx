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64bf93985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ing Loss" sheetId="1" r:id="Raf1d6f342e80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"/>
    <x:numFmt numFmtId="202" formatCode="0"/>
    <x:numFmt numFmtId="203" formatCode="0.0;-0.0;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F5F"/>
      <x:name val="Carlito"/>
    </x:font>
    <x:font>
      <x:i/>
      <x:sz val="9"/>
      <x:color rgb="FF5B677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</x:fills>
  <x:borders count="12">
    <x:border/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  <x:bottom style="thin">
        <x:color rgb="FF9EABB5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2" xfId="0" applyNumberFormat="1" applyFont="1" applyFill="1" applyBorder="1"/>
    <x:xf numFmtId="0" fontId="2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4" fillId="3" borderId="9" xfId="0" applyNumberFormat="1" applyFont="1" applyFill="1" applyBorder="1" applyAlignment="1">
      <x:alignment horizontal="center"/>
    </x:xf>
    <x:xf numFmtId="201" fontId="0" fillId="0" borderId="10" xfId="0" applyNumberFormat="1" applyFont="1" applyFill="1" applyBorder="1"/>
    <x:xf numFmtId="200" fontId="0" fillId="0" borderId="10" xfId="0" applyNumberFormat="1" applyFont="1" applyFill="1" applyBorder="1"/>
    <x:xf numFmtId="201" fontId="0" fillId="0" borderId="11" xfId="0" applyNumberFormat="1" applyFont="1" applyFill="1" applyBorder="1"/>
    <x:xf numFmtId="200" fontId="0" fillId="0" borderId="11" xfId="0" applyNumberFormat="1" applyFont="1" applyFill="1" applyBorder="1"/>
    <x:xf numFmtId="202" fontId="0" fillId="0" borderId="10" xfId="0" applyNumberFormat="1" applyFont="1" applyFill="1" applyBorder="1"/>
    <x:xf numFmtId="202" fontId="0" fillId="0" borderId="1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5bad6e34a74f96" /><Relationship Type="http://schemas.openxmlformats.org/officeDocument/2006/relationships/theme" Target="/xl/theme/theme1.xml" Id="R67cdd92c872e4cac" /><Relationship Type="http://schemas.openxmlformats.org/officeDocument/2006/relationships/sharedStrings" Target="/xl/sharedStrings.xml" Id="R1e72cf92091345c3" /><Relationship Type="http://schemas.openxmlformats.org/officeDocument/2006/relationships/worksheet" Target="/xl/worksheets/sheet1.xml" Id="Raf1d6f342e804c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66f32c2ab8e42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Training vs Validation Loss (2 Epochs)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Train Loss</c:v>
          </c:tx>
          <c:spPr>
            <a:solidFill xmlns:a="http://schemas.openxmlformats.org/drawingml/2006/main">
              <a:srgbClr val="1F6D8A"/>
            </a:solidFill>
            <a:ln xmlns:a="http://schemas.openxmlformats.org/drawingml/2006/main" w="23813">
              <a:solidFill>
                <a:srgbClr val="1F6D8A"/>
              </a:solidFill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'Training Loss'!$Q$3:$Q$23</c:f>
              <c:strCache>
                <c:ptCount val="0"/>
              </c:strCache>
            </c:strRef>
          </c:cat>
          <c:val>
            <c:numRef>
              <c:f>'Training Loss'!$R$3:$R$23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Validation Loss</c:v>
          </c:tx>
          <c:spPr>
            <a:solidFill xmlns:a="http://schemas.openxmlformats.org/drawingml/2006/main">
              <a:srgbClr val="F56B2A"/>
            </a:solidFill>
            <a:ln xmlns:a="http://schemas.openxmlformats.org/drawingml/2006/main" w="23813">
              <a:solidFill>
                <a:srgbClr val="F56B2A"/>
              </a:solidFill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'Training Loss'!$Q$3:$Q$23</c:f>
              <c:strCache>
                <c:ptCount val="0"/>
              </c:strCache>
            </c:strRef>
          </c:cat>
          <c:val>
            <c:numRef>
              <c:f>'Training Loss'!$S$3:$S$23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Epoch</a:t>
                </a:r>
              </a:p>
            </c:rich>
          </c:tx>
          <c:overlay val="0"/>
        </c:title>
        <c:numFmt formatCode="0.0;-0.0;0"/>
        <c:majorTickMark val="none"/>
        <c:minorTickMark val="none"/>
        <c:tickLblPos val="nextTo"/>
        <c:tickLblSkip val="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5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Loss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66f32c2ab8e427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6d095c7c5145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4" t="str">
        <x:v>MiniMe Training and Validation Loss</x:v>
      </x:c>
      <x:c r="B1" s="4" t="str">
        <x:v>MiniMe Training and Validation Loss</x:v>
      </x:c>
      <x:c r="C1" s="4" t="str">
        <x:v>MiniMe Training and Validation Loss</x:v>
      </x:c>
      <x:c r="D1" s="4" t="str">
        <x:v>MiniMe Training and Validation Loss</x:v>
      </x:c>
      <x:c r="E1" s="4" t="str">
        <x:v>MiniMe Training and Validation Loss</x:v>
      </x:c>
    </x:row>
    <x:row r="2">
      <x:c r="A2" s="7" t="str">
        <x:v>Model</x:v>
      </x:c>
      <x:c r="B2" s="8" t="str">
        <x:v>Qwen/Qwen3.5-9B</x:v>
      </x:c>
      <x:c r="C2" s="9" t="str">
        <x:v>Best checkpoint</x:v>
      </x:c>
      <x:c r="D2" s="10" t="str">
        <x:v>checkpoint-900</x:v>
      </x:c>
      <x:c r="Q2" t="str">
        <x:v>Epoch</x:v>
      </x:c>
      <x:c r="R2" t="str">
        <x:v>Train Loss</x:v>
      </x:c>
      <x:c r="S2" t="str">
        <x:v>Validation Loss</x:v>
      </x:c>
    </x:row>
    <x:row r="3">
      <x:c r="A3" s="11" t="str">
        <x:v>Best eval loss</x:v>
      </x:c>
      <x:c r="B3" s="6" t="n">
        <x:v>3.3519351482391357</x:v>
      </x:c>
      <x:c r="C3" s="5" t="str">
        <x:v>Best step</x:v>
      </x:c>
      <x:c r="D3" s="12" t="n">
        <x:v>900</x:v>
      </x:c>
      <x:c r="Q3" s="29" t="n">
        <x:v>0</x:v>
      </x:c>
      <x:c r="R3" t="n">
        <x:f>$C$8</x:f>
        <x:v>4.403623962402344</x:v>
      </x:c>
      <x:c r="S3" t="n">
        <x:f>$D$9</x:f>
        <x:v>3.669020652770996</x:v>
      </x:c>
    </x:row>
    <x:row r="4">
      <x:c r="A4" s="11" t="str">
        <x:v>Maximum gap</x:v>
      </x:c>
      <x:c r="B4" s="6" t="n">
        <x:v>1.2166543865203856</x:v>
      </x:c>
      <x:c r="C4" s="5" t="str">
        <x:v>Gap step</x:v>
      </x:c>
      <x:c r="D4" s="12" t="n">
        <x:v>800</x:v>
      </x:c>
      <x:c r="Q4" s="29" t="n">
        <x:v>0.1</x:v>
      </x:c>
      <x:c r="R4" t="n">
        <x:f>$C$8</x:f>
        <x:v>4.403623962402344</x:v>
      </x:c>
      <x:c r="S4" t="n">
        <x:f>$D$9</x:f>
        <x:v>3.669020652770996</x:v>
      </x:c>
    </x:row>
    <x:row r="5">
      <x:c r="A5" s="13" t="str">
        <x:v>First gap &gt; 1.0</x:v>
      </x:c>
      <x:c r="B5" s="14" t="n">
        <x:v>700</x:v>
      </x:c>
      <x:c r="C5" s="15" t="str">
        <x:v>Epochs</x:v>
      </x:c>
      <x:c r="D5" s="16" t="n">
        <x:v>2</x:v>
      </x:c>
      <x:c r="Q5" s="29" t="n">
        <x:v>0.2</x:v>
      </x:c>
      <x:c r="R5" t="n">
        <x:f>$C$8+(Q5-$B$8)*($C$9-$C$8)/($B$9-$B$8)</x:f>
        <x:v>3.8271536178588867</x:v>
      </x:c>
      <x:c r="S5" t="n">
        <x:f>$D$9</x:f>
        <x:v>3.669020652770996</x:v>
      </x:c>
    </x:row>
    <x:row r="6">
      <x:c r="A6" s="17" t="str">
        <x:v>Chart uses 0.1-epoch interpolation with edge hold; the table below contains all raw logged values.</x:v>
      </x:c>
      <x:c r="B6" s="17" t="str">
        <x:v>Chart connects logged validation points; the table below contains every raw logged value.</x:v>
      </x:c>
      <x:c r="C6" s="17" t="str">
        <x:v>Chart connects logged validation points; the table below contains every raw logged value.</x:v>
      </x:c>
      <x:c r="D6" s="17" t="str">
        <x:v>Chart connects logged validation points; the table below contains every raw logged value.</x:v>
      </x:c>
      <x:c r="E6" s="17" t="str">
        <x:v>Chart connects logged validation points; the table below contains every raw logged value.</x:v>
      </x:c>
      <x:c r="Q6" s="29" t="n">
        <x:v>0.3</x:v>
      </x:c>
      <x:c r="R6" t="n">
        <x:f>$C$9+(Q6-$B$9)*($C$10-$C$9)/($B$10-$B$9)</x:f>
        <x:v>3.6391996318817137</x:v>
      </x:c>
      <x:c r="S6" t="n">
        <x:f>$D$9+(Q6-$B$9)*($D$11-$D$9)/($B$11-$B$9)</x:f>
        <x:v>3.621134248226881</x:v>
      </x:c>
    </x:row>
    <x:row r="7">
      <x:c r="A7" s="22" t="str">
        <x:v>Step</x:v>
      </x:c>
      <x:c r="B7" s="22" t="str">
        <x:v>Epoch</x:v>
      </x:c>
      <x:c r="C7" s="22" t="str">
        <x:v>Train Loss</x:v>
      </x:c>
      <x:c r="D7" s="22" t="str">
        <x:v>Validation Loss</x:v>
      </x:c>
      <x:c r="E7" s="22" t="str">
        <x:v>Gap (Val - Train)</x:v>
      </x:c>
      <x:c r="Q7" s="29" t="n">
        <x:v>0.4</x:v>
      </x:c>
      <x:c r="R7" t="n">
        <x:f>$C$10+(Q7-$B$10)*($C$11-$C$10)/($B$11-$B$10)</x:f>
        <x:v>3.5013205764770507</x:v>
      </x:c>
      <x:c r="S7" t="n">
        <x:f>$D$9+(Q7-$B$9)*($D$11-$D$9)/($B$11-$B$9)</x:f>
        <x:v>3.564177866578102</x:v>
      </x:c>
    </x:row>
    <x:row r="8">
      <x:c r="A8" s="27" t="n">
        <x:v>50</x:v>
      </x:c>
      <x:c r="B8" s="23" t="n">
        <x:v>0.10796221322537113</x:v>
      </x:c>
      <x:c r="C8" s="24" t="n">
        <x:v>4.403623962402344</x:v>
      </x:c>
      <x:c r="D8" s="24"/>
      <x:c r="E8" s="24"/>
      <x:c r="Q8" s="29" t="n">
        <x:v>0.5</x:v>
      </x:c>
      <x:c r="R8" t="n">
        <x:f>$C$11+(Q8-$B$11)*($C$12-$C$11)/($B$12-$B$11)</x:f>
        <x:v>3.5145353088378903</x:v>
      </x:c>
      <x:c r="S8" t="n">
        <x:f>$D$11+(Q8-$B$11)*($D$13-$D$11)/($B$13-$B$11)</x:f>
        <x:v>3.5143179424107074</x:v>
      </x:c>
    </x:row>
    <x:row r="9">
      <x:c r="A9" s="27" t="n">
        <x:v>100</x:v>
      </x:c>
      <x:c r="B9" s="23" t="n">
        <x:v>0.21592442645074225</x:v>
      </x:c>
      <x:c r="C9" s="24" t="n">
        <x:v>3.7274124145507814</x:v>
      </x:c>
      <x:c r="D9" s="24" t="n">
        <x:v>3.669020652770996</x:v>
      </x:c>
      <x:c r="E9" s="24" t="n">
        <x:v>-0.058391761779785334</x:v>
      </x:c>
      <x:c r="Q9" s="29" t="n">
        <x:v>0.6</x:v>
      </x:c>
      <x:c r="R9" t="n">
        <x:f>$C$12+(Q9-$B$12)*($C$13-$C$12)/($B$13-$B$12)</x:f>
        <x:v>3.4963535675048827</x:v>
      </x:c>
      <x:c r="S9" t="n">
        <x:f>$D$11+(Q9-$B$11)*($D$13-$D$11)/($B$13-$B$11)</x:f>
        <x:v>3.4677743825316427</x:v>
      </x:c>
    </x:row>
    <x:row r="10">
      <x:c r="A10" s="27" t="n">
        <x:v>150</x:v>
      </x:c>
      <x:c r="B10" s="23" t="n">
        <x:v>0.32388663967611336</x:v>
      </x:c>
      <x:c r="C10" s="24" t="n">
        <x:v>3.6141375732421874</x:v>
      </x:c>
      <x:c r="D10" s="24"/>
      <x:c r="E10" s="24"/>
      <x:c r="Q10" s="29" t="n">
        <x:v>0.7</x:v>
      </x:c>
      <x:c r="R10" t="n">
        <x:f>$C$13+(Q10-$B$13)*($C$14-$C$13)/($B$14-$B$13)</x:f>
        <x:v>3.3307336799621585</x:v>
      </x:c>
      <x:c r="S10" t="n">
        <x:f>$D$13+(Q10-$B$13)*($D$15-$D$13)/($B$15-$B$13)</x:f>
        <x:v>3.440401342958212</x:v>
      </x:c>
    </x:row>
    <x:row r="11">
      <x:c r="A11" s="27" t="n">
        <x:v>200</x:v>
      </x:c>
      <x:c r="B11" s="23" t="n">
        <x:v>0.4318488529014845</x:v>
      </x:c>
      <x:c r="C11" s="24" t="n">
        <x:v>3.4541134643554687</x:v>
      </x:c>
      <x:c r="D11" s="24" t="n">
        <x:v>3.5460379123687744</x:v>
      </x:c>
      <x:c r="E11" s="24" t="n">
        <x:v>0.09192444801330568</x:v>
      </x:c>
      <x:c r="Q11" s="29" t="n">
        <x:v>0.8</x:v>
      </x:c>
      <x:c r="R11" t="n">
        <x:f>$C$14+(Q11-$B$14)*($C$15-$C$14)/($B$15-$B$14)</x:f>
        <x:v>3.2266824523925783</x:v>
      </x:c>
      <x:c r="S11" t="n">
        <x:f>$D$13+(Q11-$B$13)*($D$15-$D$13)/($B$15-$B$13)</x:f>
        <x:v>3.430564128160477</x:v>
      </x:c>
    </x:row>
    <x:row r="12">
      <x:c r="A12" s="27" t="n">
        <x:v>250</x:v>
      </x:c>
      <x:c r="B12" s="23" t="n">
        <x:v>0.5398110661268556</x:v>
      </x:c>
      <x:c r="C12" s="24" t="n">
        <x:v>3.5498312377929686</x:v>
      </x:c>
      <x:c r="D12" s="24"/>
      <x:c r="E12" s="24"/>
      <x:c r="Q12" s="29" t="n">
        <x:v>0.9</x:v>
      </x:c>
      <x:c r="R12" t="n">
        <x:f>$C$15+(Q12-$B$15)*($C$16-$C$15)/($B$16-$B$15)</x:f>
        <x:v>3.2255300819396973</x:v>
      </x:c>
      <x:c r="S12" t="n">
        <x:f>$D$15+(Q12-$B$15)*($D$17-$D$15)/($B$17-$B$15)</x:f>
        <x:v>3.4222393921314542</x:v>
      </x:c>
    </x:row>
    <x:row r="13">
      <x:c r="A13" s="27" t="n">
        <x:v>300</x:v>
      </x:c>
      <x:c r="B13" s="23" t="n">
        <x:v>0.6477732793522267</x:v>
      </x:c>
      <x:c r="C13" s="24" t="n">
        <x:v>3.453907165527344</x:v>
      </x:c>
      <x:c r="D13" s="24" t="n">
        <x:v>3.4455389976501465</x:v>
      </x:c>
      <x:c r="E13" s="24" t="n">
        <x:v>-0.008368167877197408</x:v>
      </x:c>
      <x:c r="Q13" s="29" t="n">
        <x:v>1</x:v>
      </x:c>
      <x:c r="R13" t="n">
        <x:f>$C$16+(Q13-$B$16)*($C$17-$C$16)/($B$17-$B$16)</x:f>
        <x:v>3.0109467018651594</x:v>
      </x:c>
      <x:c r="S13" t="n">
        <x:f>$D$15+(Q13-$B$15)*($D$17-$D$15)/($B$17-$B$15)</x:f>
        <x:v>3.4165685221947455</x:v>
      </x:c>
    </x:row>
    <x:row r="14">
      <x:c r="A14" s="27" t="n">
        <x:v>350</x:v>
      </x:c>
      <x:c r="B14" s="23" t="n">
        <x:v>0.7557354925775979</x:v>
      </x:c>
      <x:c r="C14" s="24" t="n">
        <x:v>3.199284973144531</x:v>
      </x:c>
      <x:c r="D14" s="24"/>
      <x:c r="E14" s="24"/>
      <x:c r="Q14" s="29" t="n">
        <x:v>1.1</x:v>
      </x:c>
      <x:c r="R14" t="n">
        <x:f>$C$17+(Q14-$B$17)*($C$18-$C$17)/($B$18-$B$17)</x:f>
        <x:v>2.5927780580520627</x:v>
      </x:c>
      <x:c r="S14" t="n">
        <x:f>$D$17+(Q14-$B$17)*($D$19-$D$17)/($B$19-$B$17)</x:f>
        <x:v>3.4075769774615763</x:v>
      </x:c>
    </x:row>
    <x:row r="15">
      <x:c r="A15" s="27" t="n">
        <x:v>400</x:v>
      </x:c>
      <x:c r="B15" s="23" t="n">
        <x:v>0.863697705802969</x:v>
      </x:c>
      <x:c r="C15" s="24" t="n">
        <x:v>3.266108093261719</x:v>
      </x:c>
      <x:c r="D15" s="24" t="n">
        <x:v>3.424298048019409</x:v>
      </x:c>
      <x:c r="E15" s="24" t="n">
        <x:v>0.15818995475769038</x:v>
      </x:c>
      <x:c r="Q15" s="29" t="n">
        <x:v>1.2</x:v>
      </x:c>
      <x:c r="R15" t="n">
        <x:f>$C$18+(Q15-$B$18)*($C$19-$C$18)/($B$19-$B$18)</x:f>
        <x:v>2.4118142147064208</x:v>
      </x:c>
      <x:c r="S15" t="n">
        <x:f>$D$17+(Q15-$B$17)*($D$19-$D$17)/($B$19-$B$17)</x:f>
        <x:v>3.3869932588934897</x:v>
      </x:c>
    </x:row>
    <x:row r="16">
      <x:c r="A16" s="27" t="n">
        <x:v>450</x:v>
      </x:c>
      <x:c r="B16" s="23" t="n">
        <x:v>0.97165991902834</x:v>
      </x:c>
      <x:c r="C16" s="24" t="n">
        <x:v>3.145429992675781</x:v>
      </x:c>
      <x:c r="D16" s="24"/>
      <x:c r="E16" s="24"/>
      <x:c r="Q16" s="29" t="n">
        <x:v>1.3</x:v>
      </x:c>
      <x:c r="R16" t="n">
        <x:f>$C$19+(Q16-$B$19)*($C$20-$C$19)/($B$20-$B$19)</x:f>
        <x:v>2.469665089035034</x:v>
      </x:c>
      <x:c r="S16" t="n">
        <x:f>$D$19+(Q16-$B$19)*($D$21-$D$19)/($B$21-$B$19)</x:f>
        <x:v>3.367615025639534</x:v>
      </x:c>
    </x:row>
    <x:row r="17">
      <x:c r="A17" s="27" t="n">
        <x:v>500</x:v>
      </x:c>
      <x:c r="B17" s="23" t="n">
        <x:v>1.0777327935222671</x:v>
      </x:c>
      <x:c r="C17" s="24" t="n">
        <x:v>2.6420782470703124</x:v>
      </x:c>
      <x:c r="D17" s="24" t="n">
        <x:v>3.4121603965759277</x:v>
      </x:c>
      <x:c r="E17" s="24" t="n">
        <x:v>0.7700821495056154</x:v>
      </x:c>
      <x:c r="Q17" s="29" t="n">
        <x:v>1.4</x:v>
      </x:c>
      <x:c r="R17" t="n">
        <x:f>$C$19+(Q17-$B$19)*($C$20-$C$19)/($B$20-$B$19)</x:f>
        <x:v>2.4767694107055664</x:v>
      </x:c>
      <x:c r="S17" t="n">
        <x:f>$D$19+(Q17-$B$19)*($D$21-$D$19)/($B$21-$B$19)</x:f>
        <x:v>3.3660369372367858</x:v>
      </x:c>
    </x:row>
    <x:row r="18">
      <x:c r="A18" s="27" t="n">
        <x:v>550</x:v>
      </x:c>
      <x:c r="B18" s="23" t="n">
        <x:v>1.1856950067476384</x:v>
      </x:c>
      <x:c r="C18" s="24" t="n">
        <x:v>2.4030470275878906</x:v>
      </x:c>
      <x:c r="D18" s="24"/>
      <x:c r="E18" s="24"/>
      <x:c r="Q18" s="29" t="n">
        <x:v>1.5</x:v>
      </x:c>
      <x:c r="R18" t="n">
        <x:f>$C$20+(Q18-$B$20)*($C$21-$C$20)/($B$21-$B$20)</x:f>
        <x:v>2.342649726867676</x:v>
      </x:c>
      <x:c r="S18" t="n">
        <x:f>$D$19+(Q18-$B$19)*($D$21-$D$19)/($B$21-$B$19)</x:f>
        <x:v>3.3644588488340377</x:v>
      </x:c>
    </x:row>
    <x:row r="19">
      <x:c r="A19" s="27" t="n">
        <x:v>600</x:v>
      </x:c>
      <x:c r="B19" s="23" t="n">
        <x:v>1.2936572199730094</x:v>
      </x:c>
      <x:c r="C19" s="24" t="n">
        <x:v>2.4692144775390625</x:v>
      </x:c>
      <x:c r="D19" s="24" t="n">
        <x:v>3.3677151203155518</x:v>
      </x:c>
      <x:c r="E19" s="24" t="n">
        <x:v>0.8985006427764892</x:v>
      </x:c>
      <x:c r="Q19" s="29" t="n">
        <x:v>1.6</x:v>
      </x:c>
      <x:c r="R19" t="n">
        <x:f>$C$21+(Q19-$B$21)*($C$22-$C$21)/($B$22-$B$21)</x:f>
        <x:v>2.2774059028625486</x:v>
      </x:c>
      <x:c r="S19" t="n">
        <x:f>$D$21+(Q19-$B$21)*($D$23-$D$21)/($B$23-$B$21)</x:f>
        <x:v>3.365078589320183</x:v>
      </x:c>
    </x:row>
    <x:row r="20">
      <x:c r="A20" s="27" t="n">
        <x:v>650</x:v>
      </x:c>
      <x:c r="B20" s="23" t="n">
        <x:v>1.4016194331983804</x:v>
      </x:c>
      <x:c r="C20" s="24" t="n">
        <x:v>2.476884460449219</x:v>
      </x:c>
      <x:c r="D20" s="24"/>
      <x:c r="E20" s="24"/>
      <x:c r="Q20" s="29" t="n">
        <x:v>1.7</x:v>
      </x:c>
      <x:c r="R20" t="n">
        <x:f>$C$22+(Q20-$B$22)*($C$23-$C$22)/($B$23-$B$22)</x:f>
        <x:v>2.1773219753265383</x:v>
      </x:c>
      <x:c r="S20" t="n">
        <x:f>$D$21+(Q20-$B$21)*($D$23-$D$21)/($B$23-$B$21)</x:f>
        <x:v>3.365931234061718</x:v>
      </x:c>
    </x:row>
    <x:row r="21">
      <x:c r="A21" s="27" t="n">
        <x:v>700</x:v>
      </x:c>
      <x:c r="B21" s="23" t="n">
        <x:v>1.5095816464237517</x:v>
      </x:c>
      <x:c r="C21" s="24" t="n">
        <x:v>2.329576110839844</x:v>
      </x:c>
      <x:c r="D21" s="24" t="n">
        <x:v>3.3643076419830322</x:v>
      </x:c>
      <x:c r="E21" s="24" t="n">
        <x:v>1.0347315311431884</x:v>
      </x:c>
      <x:c r="Q21" s="29" t="n">
        <x:v>1.8</x:v>
      </x:c>
      <x:c r="R21" t="n">
        <x:f>$C$23+(Q21-$B$23)*($C$24-$C$23)/($B$24-$B$23)</x:f>
        <x:v>2.3655417297363286</x:v>
      </x:c>
      <x:c r="S21" t="n">
        <x:f>$D$23+(Q21-$B$23)*($D$25-$D$23)/($B$25-$B$23)</x:f>
        <x:v>3.3612450313568116</x:v>
      </x:c>
    </x:row>
    <x:row r="22">
      <x:c r="A22" s="27" t="n">
        <x:v>750</x:v>
      </x:c>
      <x:c r="B22" s="23" t="n">
        <x:v>1.617543859649123</x:v>
      </x:c>
      <x:c r="C22" s="24" t="n">
        <x:v>2.2672833251953124</x:v>
      </x:c>
      <x:c r="D22" s="24"/>
      <x:c r="E22" s="24"/>
      <x:c r="Q22" s="29" t="n">
        <x:v>1.9</x:v>
      </x:c>
      <x:c r="R22" t="n">
        <x:f>$C$24+(Q22-$B$24)*($C$25-$C$24)/($B$25-$B$24)</x:f>
        <x:v>2.37562485370636</x:v>
      </x:c>
      <x:c r="S22" t="n">
        <x:f>$D$23+(Q22-$B$23)*($D$25-$D$23)/($B$25-$B$23)</x:f>
        <x:v>3.3546623754501343</x:v>
      </x:c>
    </x:row>
    <x:row r="23">
      <x:c r="A23" s="27" t="n">
        <x:v>800</x:v>
      </x:c>
      <x:c r="B23" s="23" t="n">
        <x:v>1.725506072874494</x:v>
      </x:c>
      <x:c r="C23" s="24" t="n">
        <x:v>2.149494323730469</x:v>
      </x:c>
      <x:c r="D23" s="24" t="n">
        <x:v>3.3661487102508545</x:v>
      </x:c>
      <x:c r="E23" s="24" t="n">
        <x:v>1.2166543865203856</x:v>
      </x:c>
      <x:c r="Q23" s="29" t="n">
        <x:v>2</x:v>
      </x:c>
      <x:c r="R23" t="n">
        <x:f>$C$25</x:f>
        <x:v>2.3214598083496094</x:v>
      </x:c>
      <x:c r="S23" t="n">
        <x:f>$D$26</x:f>
        <x:v>3.352872371673584</x:v>
      </x:c>
    </x:row>
    <x:row r="24">
      <x:c r="A24" s="27" t="n">
        <x:v>850</x:v>
      </x:c>
      <x:c r="B24" s="23" t="n">
        <x:v>1.833468286099865</x:v>
      </x:c>
      <x:c r="C24" s="24" t="n">
        <x:v>2.4626065063476563</x:v>
      </x:c>
      <x:c r="D24" s="24"/>
      <x:c r="E24" s="24"/>
    </x:row>
    <x:row r="25">
      <x:c r="A25" s="27" t="n">
        <x:v>900</x:v>
      </x:c>
      <x:c r="B25" s="23" t="n">
        <x:v>1.9414304993252363</x:v>
      </x:c>
      <x:c r="C25" s="24" t="n">
        <x:v>2.3214598083496094</x:v>
      </x:c>
      <x:c r="D25" s="24" t="n">
        <x:v>3.3519351482391357</x:v>
      </x:c>
      <x:c r="E25" s="24" t="n">
        <x:v>1.0304753398895263</x:v>
      </x:c>
    </x:row>
    <x:row r="26">
      <x:c r="A26" s="28" t="n">
        <x:v>928</x:v>
      </x:c>
      <x:c r="B26" s="25" t="n">
        <x:v>2</x:v>
      </x:c>
      <x:c r="C26" s="26"/>
      <x:c r="D26" s="26" t="n">
        <x:v>3.352872371673584</x:v>
      </x:c>
      <x:c r="E26" s="26"/>
    </x:row>
  </x:sheetData>
  <x:mergeCells>
    <x:mergeCell ref="A1:E1"/>
    <x:mergeCell ref="A6:E6"/>
  </x:mergeCells>
  <x:pageMargins left="0.7" right="0.7" top="0.75" bottom="0.75" header="0.3" footer="0.3"/>
  <x:drawing xmlns:r="http://schemas.openxmlformats.org/officeDocument/2006/relationships" r:id="Rf76d095c7c51455f"/>
</x:worksheet>
</file>